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echa" sheetId="1" state="visible" r:id="rId1"/>
  </sheets>
  <definedNames>
    <definedName name="_xlnm.Print_Titles" localSheetId="0">'Cosecha'!$1:$14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9848FF"/>
      <sz val="16"/>
    </font>
    <font>
      <name val="Arial"/>
      <b val="1"/>
      <color rgb="0040404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D5A27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A1A"/>
      </patternFill>
    </fill>
    <fill>
      <patternFill patternType="solid">
        <fgColor rgb="002D5A27"/>
      </patternFill>
    </fill>
    <fill>
      <patternFill patternType="solid">
        <fgColor rgb="004A7C3F"/>
      </patternFill>
    </fill>
    <fill>
      <patternFill patternType="solid">
        <fgColor rgb="00FFFFFF"/>
      </patternFill>
    </fill>
    <fill>
      <patternFill patternType="solid">
        <fgColor rgb="00D6E4D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2" customWidth="1" min="4" max="4"/>
    <col width="11" customWidth="1" min="5" max="5"/>
    <col width="13" customWidth="1" min="6" max="6"/>
    <col width="9" customWidth="1" min="7" max="7"/>
    <col width="10" customWidth="1" min="8" max="8"/>
    <col width="15" customWidth="1" min="9" max="9"/>
    <col width="11" customWidth="1" min="10" max="10"/>
    <col width="11" customWidth="1" min="11" max="11"/>
    <col width="15" customWidth="1" min="12" max="12"/>
    <col width="11" customWidth="1" min="13" max="13"/>
    <col width="20" customWidth="1" min="14" max="14"/>
    <col width="16" customWidth="1" min="15" max="15"/>
    <col width="12" customWidth="1" min="16" max="16"/>
    <col width="12" customWidth="1" min="17" max="17"/>
    <col width="10" customWidth="1" min="18" max="18"/>
  </cols>
  <sheetData>
    <row r="1" ht="40" customHeight="1">
      <c r="A1" s="1" t="inlineStr">
        <is>
          <t>L5A.IO</t>
        </is>
      </c>
      <c r="K1" s="2" t="inlineStr">
        <is>
          <t>Usuario:</t>
        </is>
      </c>
      <c r="L1" s="3" t="inlineStr">
        <is>
          <t>Lorena</t>
        </is>
      </c>
    </row>
    <row r="2">
      <c r="K2" s="2" t="inlineStr">
        <is>
          <t>Fecha:</t>
        </is>
      </c>
      <c r="L2" s="3" t="inlineStr">
        <is>
          <t>21/03/2026</t>
        </is>
      </c>
    </row>
    <row r="3" ht="28" customHeight="1">
      <c r="C3" s="4" t="inlineStr">
        <is>
          <t>Avance de Cosecha y Traslados de Granos</t>
        </is>
      </c>
    </row>
    <row r="5" ht="18" customHeight="1">
      <c r="A5" s="5" t="inlineStr">
        <is>
          <t>Avance de cosecha</t>
        </is>
      </c>
      <c r="H5" s="5" t="inlineStr">
        <is>
          <t>Depósitos y Contratos</t>
        </is>
      </c>
    </row>
    <row r="6">
      <c r="A6" s="6" t="inlineStr">
        <is>
          <t>ALGIMAR</t>
        </is>
      </c>
      <c r="D6" s="6" t="inlineStr">
        <is>
          <t>GIRASOL 25/26</t>
        </is>
      </c>
    </row>
    <row r="7" ht="28" customHeight="1">
      <c r="A7" s="7" t="inlineStr">
        <is>
          <t>Lote</t>
        </is>
      </c>
      <c r="B7" s="7" t="inlineStr">
        <is>
          <t>Has</t>
        </is>
      </c>
      <c r="C7" s="7" t="inlineStr">
        <is>
          <t>Sup. Cosechada</t>
        </is>
      </c>
      <c r="D7" s="7" t="inlineStr">
        <is>
          <t>Kg Húmedos</t>
        </is>
      </c>
      <c r="E7" s="7" t="inlineStr">
        <is>
          <t>Kg Secos</t>
        </is>
      </c>
      <c r="F7" s="7" t="inlineStr">
        <is>
          <t>Rinde Seco</t>
        </is>
      </c>
      <c r="H7" s="7" t="inlineStr">
        <is>
          <t>Destino</t>
        </is>
      </c>
      <c r="I7" s="7" t="inlineStr">
        <is>
          <t>Cosecha</t>
        </is>
      </c>
      <c r="J7" s="7" t="inlineStr">
        <is>
          <t>Salida</t>
        </is>
      </c>
      <c r="K7" s="7" t="inlineStr">
        <is>
          <t>Saldo</t>
        </is>
      </c>
    </row>
    <row r="8" ht="18" customHeight="1">
      <c r="A8" s="8" t="n">
        <v>2</v>
      </c>
      <c r="B8" s="8" t="n">
        <v>45</v>
      </c>
      <c r="C8" s="8">
        <f>SUMIF(B20:B24,A8,C20:C24)</f>
        <v/>
      </c>
      <c r="D8" s="9">
        <f>SUMIF(B20:B24,A8,F20:F24)</f>
        <v/>
      </c>
      <c r="E8" s="9">
        <f>SUMIF(B20:B24,A8,H20:H24)</f>
        <v/>
      </c>
      <c r="F8" s="9">
        <f>IFERROR(E8/B8,"")</f>
        <v/>
      </c>
      <c r="H8" s="8" t="inlineStr">
        <is>
          <t>BUNGE</t>
        </is>
      </c>
      <c r="I8" s="9">
        <f>D8</f>
        <v/>
      </c>
      <c r="J8" s="9">
        <f>SUMIF(B20:B24,A8,F20:F24)</f>
        <v/>
      </c>
      <c r="K8" s="9">
        <f>I8-J8</f>
        <v/>
      </c>
    </row>
    <row r="9">
      <c r="H9" t="inlineStr">
        <is>
          <t>silo 1</t>
        </is>
      </c>
    </row>
    <row r="10">
      <c r="H10" t="inlineStr">
        <is>
          <t>silo 2</t>
        </is>
      </c>
    </row>
    <row r="12" ht="20" customHeight="1">
      <c r="A12" s="10" t="inlineStr">
        <is>
          <t>TOTAL</t>
        </is>
      </c>
      <c r="B12" s="10">
        <f>SUM(B8:B11)</f>
        <v/>
      </c>
      <c r="C12" s="10">
        <f>SUM(C8:C11)</f>
        <v/>
      </c>
      <c r="D12" s="10">
        <f>SUM(D8:D11)</f>
        <v/>
      </c>
      <c r="E12" s="10">
        <f>SUM(E8:E11)</f>
        <v/>
      </c>
      <c r="F12" s="10">
        <f>IFERROR(E12/B12,"")</f>
        <v/>
      </c>
      <c r="I12" s="10">
        <f>SUM(I8:I11)</f>
        <v/>
      </c>
      <c r="J12" s="10">
        <f>SUM(J8:J11)</f>
        <v/>
      </c>
      <c r="K12" s="10">
        <f>SUM(K8:K11)</f>
        <v/>
      </c>
    </row>
    <row r="14" ht="30" customHeight="1">
      <c r="A14" s="7" t="inlineStr">
        <is>
          <t>Fecha</t>
        </is>
      </c>
      <c r="B14" s="7" t="inlineStr">
        <is>
          <t>Lote</t>
        </is>
      </c>
      <c r="C14" s="7" t="inlineStr">
        <is>
          <t>Has</t>
        </is>
      </c>
      <c r="D14" s="7" t="inlineStr">
        <is>
          <t>Variedad</t>
        </is>
      </c>
      <c r="E14" s="7" t="inlineStr">
        <is>
          <t>Contrato</t>
        </is>
      </c>
      <c r="F14" s="7" t="inlineStr">
        <is>
          <t>Kg Húmedos</t>
        </is>
      </c>
      <c r="G14" s="7" t="inlineStr">
        <is>
          <t>Humedad %</t>
        </is>
      </c>
      <c r="H14" s="7" t="inlineStr">
        <is>
          <t>Kg Secos</t>
        </is>
      </c>
      <c r="I14" s="7" t="inlineStr">
        <is>
          <t>Carta de Porte</t>
        </is>
      </c>
      <c r="J14" s="7" t="inlineStr">
        <is>
          <t>Contratista</t>
        </is>
      </c>
      <c r="K14" s="7" t="inlineStr">
        <is>
          <t>Embolsador</t>
        </is>
      </c>
      <c r="L14" s="7" t="inlineStr">
        <is>
          <t>Destino</t>
        </is>
      </c>
      <c r="M14" s="7" t="inlineStr">
        <is>
          <t>Destinatario</t>
        </is>
      </c>
      <c r="N14" s="7" t="inlineStr">
        <is>
          <t>Procedencia</t>
        </is>
      </c>
      <c r="O14" s="7" t="inlineStr">
        <is>
          <t>Destino Final</t>
        </is>
      </c>
      <c r="P14" s="7" t="inlineStr">
        <is>
          <t>Flete Pagador</t>
        </is>
      </c>
      <c r="Q14" s="7" t="inlineStr">
        <is>
          <t>Transporte</t>
        </is>
      </c>
      <c r="R14" s="7" t="inlineStr">
        <is>
          <t>Chofer</t>
        </is>
      </c>
    </row>
    <row r="20" ht="16" customHeight="1">
      <c r="A20" s="11" t="inlineStr">
        <is>
          <t>19/03/2026</t>
        </is>
      </c>
      <c r="B20" s="11" t="n">
        <v>2</v>
      </c>
      <c r="C20" s="11" t="n"/>
      <c r="D20" s="11" t="inlineStr">
        <is>
          <t>1115CL</t>
        </is>
      </c>
      <c r="E20" s="11" t="inlineStr">
        <is>
          <t>102026G01</t>
        </is>
      </c>
      <c r="F20" s="12" t="n">
        <v>26800</v>
      </c>
      <c r="G20" s="11" t="n">
        <v>11</v>
      </c>
      <c r="H20" s="12" t="n">
        <v>26800</v>
      </c>
      <c r="I20" s="11" t="inlineStr">
        <is>
          <t>00001-00010481</t>
        </is>
      </c>
      <c r="J20" s="11" t="inlineStr">
        <is>
          <t>AMITAFF</t>
        </is>
      </c>
      <c r="K20" s="11" t="inlineStr"/>
      <c r="L20" s="11" t="inlineStr">
        <is>
          <t>BUNGE</t>
        </is>
      </c>
      <c r="M20" s="11" t="inlineStr">
        <is>
          <t>BUNGE</t>
        </is>
      </c>
      <c r="N20" s="11" t="inlineStr">
        <is>
          <t>GENERAL ALVARADO</t>
        </is>
      </c>
      <c r="O20" s="11" t="inlineStr">
        <is>
          <t>QUEQUEN</t>
        </is>
      </c>
      <c r="P20" s="11" t="inlineStr">
        <is>
          <t>BUNGE</t>
        </is>
      </c>
      <c r="Q20" s="11" t="inlineStr">
        <is>
          <t>GALLEGO</t>
        </is>
      </c>
      <c r="R20" s="11" t="inlineStr">
        <is>
          <t>MARTINEZ</t>
        </is>
      </c>
    </row>
    <row r="21" ht="16" customHeight="1">
      <c r="A21" s="13" t="inlineStr">
        <is>
          <t>20/03/2026</t>
        </is>
      </c>
      <c r="B21" s="13" t="n">
        <v>2</v>
      </c>
      <c r="C21" s="13" t="n"/>
      <c r="D21" s="13" t="inlineStr">
        <is>
          <t>1115CL</t>
        </is>
      </c>
      <c r="E21" s="13" t="inlineStr">
        <is>
          <t>102026G01</t>
        </is>
      </c>
      <c r="F21" s="14" t="n">
        <v>26240</v>
      </c>
      <c r="G21" s="13" t="n">
        <v>11</v>
      </c>
      <c r="H21" s="14" t="n">
        <v>26240</v>
      </c>
      <c r="I21" s="13" t="inlineStr">
        <is>
          <t>00001-00010482</t>
        </is>
      </c>
      <c r="J21" s="13" t="inlineStr">
        <is>
          <t>AMITAFF</t>
        </is>
      </c>
      <c r="K21" s="13" t="inlineStr"/>
      <c r="L21" s="13" t="inlineStr">
        <is>
          <t>BUNGE</t>
        </is>
      </c>
      <c r="M21" s="13" t="inlineStr">
        <is>
          <t>BUNGE</t>
        </is>
      </c>
      <c r="N21" s="13" t="inlineStr">
        <is>
          <t>GENERAL ALVARADO</t>
        </is>
      </c>
      <c r="O21" s="13" t="inlineStr">
        <is>
          <t>QUEQUEN</t>
        </is>
      </c>
      <c r="P21" s="13" t="inlineStr">
        <is>
          <t>BUNGE</t>
        </is>
      </c>
      <c r="Q21" s="13" t="inlineStr">
        <is>
          <t>FIDEICOMISO</t>
        </is>
      </c>
      <c r="R21" s="13" t="inlineStr">
        <is>
          <t>ESTARLI</t>
        </is>
      </c>
    </row>
    <row r="22" ht="16" customHeight="1">
      <c r="A22" s="11" t="inlineStr">
        <is>
          <t>20/03/2026</t>
        </is>
      </c>
      <c r="B22" s="11" t="n">
        <v>2</v>
      </c>
      <c r="C22" s="11" t="n"/>
      <c r="D22" s="11" t="inlineStr">
        <is>
          <t>1115CL</t>
        </is>
      </c>
      <c r="E22" s="11" t="inlineStr">
        <is>
          <t>102026G01</t>
        </is>
      </c>
      <c r="F22" s="12" t="n">
        <v>29340</v>
      </c>
      <c r="G22" s="11" t="n">
        <v>11</v>
      </c>
      <c r="H22" s="12" t="n">
        <v>29340</v>
      </c>
      <c r="I22" s="11" t="inlineStr">
        <is>
          <t>00001-00010483</t>
        </is>
      </c>
      <c r="J22" s="11" t="inlineStr">
        <is>
          <t>AMITAFF</t>
        </is>
      </c>
      <c r="K22" s="11" t="inlineStr"/>
      <c r="L22" s="11" t="inlineStr">
        <is>
          <t>BUNGE</t>
        </is>
      </c>
      <c r="M22" s="11" t="inlineStr">
        <is>
          <t>BUNGE</t>
        </is>
      </c>
      <c r="N22" s="11" t="inlineStr">
        <is>
          <t>GENERAL ALVARADO</t>
        </is>
      </c>
      <c r="O22" s="11" t="inlineStr">
        <is>
          <t>QUEQUEN</t>
        </is>
      </c>
      <c r="P22" s="11" t="inlineStr">
        <is>
          <t>BUNGE</t>
        </is>
      </c>
      <c r="Q22" s="11" t="inlineStr">
        <is>
          <t>FIDEICOMISO</t>
        </is>
      </c>
      <c r="R22" s="11" t="inlineStr">
        <is>
          <t>SOTELO</t>
        </is>
      </c>
    </row>
    <row r="23" ht="16" customHeight="1">
      <c r="A23" s="13" t="inlineStr">
        <is>
          <t>20/03/2026</t>
        </is>
      </c>
      <c r="B23" s="13" t="n">
        <v>2</v>
      </c>
      <c r="C23" s="13" t="n"/>
      <c r="D23" s="13" t="inlineStr">
        <is>
          <t>1115CL</t>
        </is>
      </c>
      <c r="E23" s="13" t="inlineStr">
        <is>
          <t>102026G01</t>
        </is>
      </c>
      <c r="F23" s="14" t="n">
        <v>28900</v>
      </c>
      <c r="G23" s="13" t="n">
        <v>11</v>
      </c>
      <c r="H23" s="14" t="n">
        <v>28900</v>
      </c>
      <c r="I23" s="13" t="inlineStr">
        <is>
          <t>00001-00010484</t>
        </is>
      </c>
      <c r="J23" s="13" t="inlineStr">
        <is>
          <t>AMITAFF</t>
        </is>
      </c>
      <c r="K23" s="13" t="inlineStr"/>
      <c r="L23" s="13" t="inlineStr">
        <is>
          <t>BUNGE</t>
        </is>
      </c>
      <c r="M23" s="13" t="inlineStr">
        <is>
          <t>BUNGE</t>
        </is>
      </c>
      <c r="N23" s="13" t="inlineStr">
        <is>
          <t>GENERAL ALVARADO</t>
        </is>
      </c>
      <c r="O23" s="13" t="inlineStr">
        <is>
          <t>QUEQUEN</t>
        </is>
      </c>
      <c r="P23" s="13" t="inlineStr">
        <is>
          <t>BUNGE</t>
        </is>
      </c>
      <c r="Q23" s="13" t="inlineStr">
        <is>
          <t>FIDEICOMISO</t>
        </is>
      </c>
      <c r="R23" s="13" t="inlineStr">
        <is>
          <t>BOCCA</t>
        </is>
      </c>
    </row>
    <row r="24" ht="16" customHeight="1">
      <c r="A24" s="11" t="inlineStr">
        <is>
          <t>20/03/2026</t>
        </is>
      </c>
      <c r="B24" s="11" t="n">
        <v>2</v>
      </c>
      <c r="C24" s="11" t="n">
        <v>45</v>
      </c>
      <c r="D24" s="11" t="inlineStr">
        <is>
          <t>1115CL</t>
        </is>
      </c>
      <c r="E24" s="11" t="inlineStr">
        <is>
          <t>102026G01</t>
        </is>
      </c>
      <c r="F24" s="12" t="n">
        <v>18860</v>
      </c>
      <c r="G24" s="11" t="n">
        <v>11</v>
      </c>
      <c r="H24" s="12" t="n">
        <v>18860</v>
      </c>
      <c r="I24" s="11" t="inlineStr">
        <is>
          <t>00001-00010485</t>
        </is>
      </c>
      <c r="J24" s="11" t="inlineStr">
        <is>
          <t>AMITAFF</t>
        </is>
      </c>
      <c r="K24" s="11" t="inlineStr"/>
      <c r="L24" s="11" t="inlineStr">
        <is>
          <t>BUNGE</t>
        </is>
      </c>
      <c r="M24" s="11" t="inlineStr">
        <is>
          <t>BUNGE</t>
        </is>
      </c>
      <c r="N24" s="11" t="inlineStr">
        <is>
          <t>GENERAL ALVARADO</t>
        </is>
      </c>
      <c r="O24" s="11" t="inlineStr">
        <is>
          <t>QUEQUEN</t>
        </is>
      </c>
      <c r="P24" s="11" t="inlineStr">
        <is>
          <t>BUNGE</t>
        </is>
      </c>
      <c r="Q24" s="11" t="inlineStr">
        <is>
          <t>FIDEICOMISO</t>
        </is>
      </c>
      <c r="R24" s="11" t="inlineStr">
        <is>
          <t>CIRIBE</t>
        </is>
      </c>
    </row>
    <row r="25" ht="20" customHeight="1">
      <c r="A25" s="10" t="inlineStr">
        <is>
          <t>TOTAL</t>
        </is>
      </c>
      <c r="B25" s="10" t="n"/>
      <c r="C25" s="10" t="n"/>
      <c r="D25" s="10" t="n"/>
      <c r="E25" s="10" t="n"/>
      <c r="F25" s="10">
        <f>SUM(F20:F24)</f>
        <v/>
      </c>
      <c r="G25" s="10" t="n"/>
      <c r="H25" s="10">
        <f>SUM(H20:H24)</f>
        <v/>
      </c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</row>
  </sheetData>
  <mergeCells count="4">
    <mergeCell ref="D6:E6"/>
    <mergeCell ref="A5:F5"/>
    <mergeCell ref="C3:R3"/>
    <mergeCell ref="H5:K5"/>
  </mergeCells>
  <pageMargins left="0.5" right="0.5" top="0.75" bottom="0.7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2026-03-21T22:37:37Z</dcterms:created>
  <dcterms:modified xmlns:dcterms="http://purl.org/dc/terms/" xmlns:xsi="http://www.w3.org/2001/XMLSchema-instance" xsi:type="dcterms:W3CDTF">2026-03-21T22:37:37Z</dcterms:modified>
</cp:coreProperties>
</file>